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60" windowWidth="11415" windowHeight="4635"/>
  </bookViews>
  <sheets>
    <sheet name="Stock Data" sheetId="1" r:id="rId1"/>
    <sheet name="Decision Journal" sheetId="2" r:id="rId2"/>
  </sheets>
  <calcPr calcId="124519"/>
</workbook>
</file>

<file path=xl/calcChain.xml><?xml version="1.0" encoding="utf-8"?>
<calcChain xmlns="http://schemas.openxmlformats.org/spreadsheetml/2006/main">
  <c r="H26" i="1"/>
  <c r="J36"/>
  <c r="I36"/>
  <c r="H36"/>
  <c r="G36"/>
  <c r="J29"/>
  <c r="I29"/>
  <c r="H29"/>
  <c r="G29"/>
  <c r="J22"/>
  <c r="I22"/>
  <c r="H22"/>
  <c r="G22"/>
  <c r="J15"/>
  <c r="I15"/>
  <c r="H15"/>
  <c r="G15"/>
  <c r="H7"/>
  <c r="I34"/>
  <c r="G34"/>
  <c r="G33"/>
  <c r="G32"/>
  <c r="G31"/>
  <c r="G30"/>
  <c r="G27"/>
  <c r="G26"/>
  <c r="G25"/>
  <c r="G24"/>
  <c r="G23"/>
  <c r="G20"/>
  <c r="G19"/>
  <c r="G18"/>
  <c r="G17"/>
  <c r="G16"/>
  <c r="G13"/>
  <c r="G12"/>
  <c r="G11"/>
  <c r="G10"/>
  <c r="G9"/>
  <c r="G6"/>
  <c r="G5"/>
  <c r="G4"/>
  <c r="G3"/>
  <c r="G2"/>
  <c r="H34"/>
  <c r="H33"/>
  <c r="H32"/>
  <c r="J30"/>
  <c r="J31"/>
  <c r="J32"/>
  <c r="J33"/>
  <c r="J34"/>
  <c r="H27"/>
  <c r="H25"/>
  <c r="J27"/>
  <c r="J26"/>
  <c r="J25"/>
  <c r="J24"/>
  <c r="J23"/>
  <c r="H20"/>
  <c r="H19"/>
  <c r="H18"/>
  <c r="J20"/>
  <c r="J19"/>
  <c r="J18"/>
  <c r="J17"/>
  <c r="J16"/>
  <c r="H12"/>
  <c r="H11"/>
  <c r="J13"/>
  <c r="J12"/>
  <c r="J11"/>
  <c r="J10"/>
  <c r="H4"/>
  <c r="H5"/>
  <c r="J9"/>
  <c r="J6"/>
  <c r="J5"/>
  <c r="J4"/>
  <c r="J3"/>
  <c r="J2"/>
  <c r="H14" l="1"/>
  <c r="I7"/>
  <c r="G7"/>
  <c r="J7"/>
  <c r="J14" l="1"/>
  <c r="I14"/>
  <c r="G14"/>
  <c r="I6"/>
  <c r="G21" l="1"/>
  <c r="I21"/>
  <c r="H21"/>
  <c r="I13"/>
  <c r="H28"/>
  <c r="J21"/>
  <c r="I28" l="1"/>
  <c r="I20"/>
  <c r="H6"/>
  <c r="H35"/>
  <c r="G28"/>
  <c r="J28"/>
  <c r="I35" l="1"/>
  <c r="H13"/>
  <c r="I27"/>
  <c r="J35"/>
  <c r="G35"/>
</calcChain>
</file>

<file path=xl/sharedStrings.xml><?xml version="1.0" encoding="utf-8"?>
<sst xmlns="http://schemas.openxmlformats.org/spreadsheetml/2006/main" count="99" uniqueCount="30">
  <si>
    <t>Week Start</t>
  </si>
  <si>
    <t>Week End</t>
  </si>
  <si>
    <t>Company</t>
  </si>
  <si>
    <t>Microsoft</t>
  </si>
  <si>
    <t>Ticker</t>
  </si>
  <si>
    <t>Open</t>
  </si>
  <si>
    <t>Close</t>
  </si>
  <si>
    <t>Sma_3</t>
  </si>
  <si>
    <t>Sma_5</t>
  </si>
  <si>
    <t>Trends</t>
  </si>
  <si>
    <t>MSFT</t>
  </si>
  <si>
    <t>Wow Return</t>
  </si>
  <si>
    <t>Apple</t>
  </si>
  <si>
    <t>AAPL</t>
  </si>
  <si>
    <t>NVIDIA</t>
  </si>
  <si>
    <t>NVDA</t>
  </si>
  <si>
    <t>Alphabet</t>
  </si>
  <si>
    <t>GOOGL</t>
  </si>
  <si>
    <t>Meta</t>
  </si>
  <si>
    <t>META</t>
  </si>
  <si>
    <t>Date</t>
  </si>
  <si>
    <t>Stock Ticker</t>
  </si>
  <si>
    <t>Action</t>
  </si>
  <si>
    <t>Current Price</t>
  </si>
  <si>
    <t>Target Price</t>
  </si>
  <si>
    <t>Stop Loss</t>
  </si>
  <si>
    <t>Technical Trigger</t>
  </si>
  <si>
    <t>My Emotion</t>
  </si>
  <si>
    <t>Notes/Lesson</t>
  </si>
  <si>
    <t>WATCH LIST</t>
  </si>
</sst>
</file>

<file path=xl/styles.xml><?xml version="1.0" encoding="utf-8"?>
<styleSheet xmlns="http://schemas.openxmlformats.org/spreadsheetml/2006/main">
  <numFmts count="4">
    <numFmt numFmtId="164" formatCode="[$$-45C]#,##0.00"/>
    <numFmt numFmtId="165" formatCode="\$#,##0.00"/>
    <numFmt numFmtId="166" formatCode="[Color3]\+0.0%;[Color10]\ \-0.0%;&quot;0.0%&quot;"/>
    <numFmt numFmtId="167" formatCode="[Color10]\+0.0%;[Color3]\ \-0.0%;&quot;0.0%&quot;"/>
  </numFmts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74B23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3" tint="-0.49998474074526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</borders>
  <cellStyleXfs count="1">
    <xf numFmtId="0" fontId="0" fillId="0" borderId="0"/>
  </cellStyleXfs>
  <cellXfs count="24">
    <xf numFmtId="0" fontId="0" fillId="0" borderId="0" xfId="0"/>
    <xf numFmtId="166" fontId="0" fillId="0" borderId="0" xfId="0" applyNumberFormat="1" applyFill="1"/>
    <xf numFmtId="0" fontId="1" fillId="2" borderId="0" xfId="0" applyFont="1" applyFill="1"/>
    <xf numFmtId="0" fontId="0" fillId="0" borderId="0" xfId="0" applyFill="1"/>
    <xf numFmtId="14" fontId="0" fillId="4" borderId="1" xfId="0" applyNumberFormat="1" applyFont="1" applyFill="1" applyBorder="1"/>
    <xf numFmtId="0" fontId="0" fillId="4" borderId="1" xfId="0" applyFont="1" applyFill="1" applyBorder="1"/>
    <xf numFmtId="164" fontId="0" fillId="4" borderId="1" xfId="0" applyNumberFormat="1" applyFont="1" applyFill="1" applyBorder="1"/>
    <xf numFmtId="165" fontId="0" fillId="4" borderId="1" xfId="0" applyNumberFormat="1" applyFont="1" applyFill="1" applyBorder="1"/>
    <xf numFmtId="167" fontId="2" fillId="4" borderId="1" xfId="0" applyNumberFormat="1" applyFont="1" applyFill="1" applyBorder="1"/>
    <xf numFmtId="14" fontId="0" fillId="3" borderId="1" xfId="0" applyNumberFormat="1" applyFont="1" applyFill="1" applyBorder="1"/>
    <xf numFmtId="0" fontId="0" fillId="3" borderId="1" xfId="0" applyFont="1" applyFill="1" applyBorder="1"/>
    <xf numFmtId="164" fontId="0" fillId="3" borderId="1" xfId="0" applyNumberFormat="1" applyFont="1" applyFill="1" applyBorder="1"/>
    <xf numFmtId="165" fontId="0" fillId="3" borderId="1" xfId="0" applyNumberFormat="1" applyFont="1" applyFill="1" applyBorder="1"/>
    <xf numFmtId="167" fontId="2" fillId="3" borderId="1" xfId="0" applyNumberFormat="1" applyFont="1" applyFill="1" applyBorder="1"/>
    <xf numFmtId="165" fontId="3" fillId="4" borderId="1" xfId="0" applyNumberFormat="1" applyFont="1" applyFill="1" applyBorder="1"/>
    <xf numFmtId="165" fontId="3" fillId="3" borderId="1" xfId="0" applyNumberFormat="1" applyFont="1" applyFill="1" applyBorder="1"/>
    <xf numFmtId="0" fontId="1" fillId="5" borderId="1" xfId="0" applyFont="1" applyFill="1" applyBorder="1" applyAlignment="1">
      <alignment vertical="center"/>
    </xf>
    <xf numFmtId="0" fontId="1" fillId="5" borderId="1" xfId="0" applyFont="1" applyFill="1" applyBorder="1"/>
    <xf numFmtId="166" fontId="1" fillId="5" borderId="1" xfId="0" applyNumberFormat="1" applyFont="1" applyFill="1" applyBorder="1"/>
    <xf numFmtId="0" fontId="1" fillId="2" borderId="0" xfId="0" applyFont="1" applyFill="1" applyBorder="1"/>
    <xf numFmtId="14" fontId="0" fillId="0" borderId="0" xfId="0" applyNumberFormat="1" applyFont="1" applyFill="1" applyBorder="1"/>
    <xf numFmtId="0" fontId="0" fillId="0" borderId="0" xfId="0" applyFont="1" applyFill="1" applyBorder="1"/>
    <xf numFmtId="0" fontId="0" fillId="0" borderId="0" xfId="0" applyFill="1" applyBorder="1"/>
    <xf numFmtId="0" fontId="4" fillId="3" borderId="1" xfId="0" applyFont="1" applyFill="1" applyBorder="1"/>
  </cellXfs>
  <cellStyles count="1">
    <cellStyle name="Normal" xfId="0" builtinId="0"/>
  </cellStyles>
  <dxfs count="18">
    <dxf>
      <font>
        <condense val="0"/>
        <extend val="0"/>
        <color rgb="FF9C0006"/>
      </font>
    </dxf>
    <dxf>
      <font>
        <color theme="6" tint="-0.499984740745262"/>
      </font>
    </dxf>
    <dxf>
      <font>
        <color theme="6" tint="-0.24994659260841701"/>
      </font>
    </dxf>
    <dxf>
      <font>
        <condense val="0"/>
        <extend val="0"/>
        <color rgb="FF9C0006"/>
      </font>
    </dxf>
    <dxf>
      <font>
        <color theme="6" tint="-0.499984740745262"/>
      </font>
    </dxf>
    <dxf>
      <font>
        <color theme="6" tint="-0.24994659260841701"/>
      </font>
    </dxf>
    <dxf>
      <font>
        <condense val="0"/>
        <extend val="0"/>
        <color rgb="FF9C0006"/>
      </font>
    </dxf>
    <dxf>
      <font>
        <color theme="6" tint="-0.499984740745262"/>
      </font>
    </dxf>
    <dxf>
      <font>
        <color theme="6" tint="-0.24994659260841701"/>
      </font>
    </dxf>
    <dxf>
      <font>
        <condense val="0"/>
        <extend val="0"/>
        <color rgb="FF9C0006"/>
      </font>
    </dxf>
    <dxf>
      <font>
        <color theme="6" tint="-0.499984740745262"/>
      </font>
    </dxf>
    <dxf>
      <font>
        <color theme="6" tint="-0.24994659260841701"/>
      </font>
    </dxf>
    <dxf>
      <font>
        <condense val="0"/>
        <extend val="0"/>
        <color rgb="FF9C0006"/>
      </font>
    </dxf>
    <dxf>
      <font>
        <color theme="6" tint="-0.499984740745262"/>
      </font>
    </dxf>
    <dxf>
      <font>
        <color theme="6" tint="-0.24994659260841701"/>
      </font>
    </dxf>
    <dxf>
      <font>
        <color theme="6" tint="-0.499984740745262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</dxfs>
  <tableStyles count="0" defaultTableStyle="TableStyleMedium9" defaultPivotStyle="PivotStyleLight16"/>
  <colors>
    <mruColors>
      <color rgb="FF74B23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tabSelected="1" workbookViewId="0">
      <selection activeCell="N13" sqref="N13"/>
    </sheetView>
  </sheetViews>
  <sheetFormatPr defaultRowHeight="15"/>
  <cols>
    <col min="1" max="1" width="13" customWidth="1"/>
    <col min="2" max="2" width="12.140625" customWidth="1"/>
    <col min="3" max="3" width="11.42578125" customWidth="1"/>
    <col min="4" max="4" width="11.85546875" bestFit="1" customWidth="1"/>
    <col min="6" max="6" width="11.140625" bestFit="1" customWidth="1"/>
    <col min="7" max="7" width="14.28515625" style="1" customWidth="1"/>
  </cols>
  <sheetData>
    <row r="1" spans="1:10">
      <c r="A1" s="16" t="s">
        <v>0</v>
      </c>
      <c r="B1" s="16" t="s">
        <v>1</v>
      </c>
      <c r="C1" s="17" t="s">
        <v>2</v>
      </c>
      <c r="D1" s="17" t="s">
        <v>4</v>
      </c>
      <c r="E1" s="17" t="s">
        <v>5</v>
      </c>
      <c r="F1" s="17" t="s">
        <v>6</v>
      </c>
      <c r="G1" s="18" t="s">
        <v>11</v>
      </c>
      <c r="H1" s="17" t="s">
        <v>7</v>
      </c>
      <c r="I1" s="17" t="s">
        <v>8</v>
      </c>
      <c r="J1" s="17" t="s">
        <v>9</v>
      </c>
    </row>
    <row r="2" spans="1:10">
      <c r="A2" s="4">
        <v>46174</v>
      </c>
      <c r="B2" s="4">
        <v>46178</v>
      </c>
      <c r="C2" s="5" t="s">
        <v>3</v>
      </c>
      <c r="D2" s="5" t="s">
        <v>10</v>
      </c>
      <c r="E2" s="6">
        <v>460.52</v>
      </c>
      <c r="F2" s="7">
        <v>416.67</v>
      </c>
      <c r="G2" s="8">
        <f t="shared" ref="G2:G36" si="0">(F2-E2)/E2</f>
        <v>-9.5218448710153669E-2</v>
      </c>
      <c r="H2" s="7"/>
      <c r="I2" s="7"/>
      <c r="J2" s="5" t="str">
        <f t="shared" ref="J2:J36" si="1">IF(F2&gt;E2,"UP","DOWN")</f>
        <v>DOWN</v>
      </c>
    </row>
    <row r="3" spans="1:10">
      <c r="A3" s="9">
        <v>46181</v>
      </c>
      <c r="B3" s="9">
        <v>46185</v>
      </c>
      <c r="C3" s="10" t="s">
        <v>3</v>
      </c>
      <c r="D3" s="10" t="s">
        <v>10</v>
      </c>
      <c r="E3" s="11">
        <v>411.74</v>
      </c>
      <c r="F3" s="12">
        <v>390.74</v>
      </c>
      <c r="G3" s="13">
        <f t="shared" si="0"/>
        <v>-5.1003060183611018E-2</v>
      </c>
      <c r="H3" s="12"/>
      <c r="I3" s="12"/>
      <c r="J3" s="10" t="str">
        <f t="shared" si="1"/>
        <v>DOWN</v>
      </c>
    </row>
    <row r="4" spans="1:10">
      <c r="A4" s="4">
        <v>46188</v>
      </c>
      <c r="B4" s="4">
        <v>46191</v>
      </c>
      <c r="C4" s="5" t="s">
        <v>3</v>
      </c>
      <c r="D4" s="5" t="s">
        <v>10</v>
      </c>
      <c r="E4" s="6">
        <v>399.76</v>
      </c>
      <c r="F4" s="7">
        <v>379.4</v>
      </c>
      <c r="G4" s="8">
        <f t="shared" si="0"/>
        <v>-5.0930558335001035E-2</v>
      </c>
      <c r="H4" s="7">
        <f>AVERAGE(F2:F4)</f>
        <v>395.6033333333333</v>
      </c>
      <c r="I4" s="7"/>
      <c r="J4" s="5" t="str">
        <f t="shared" si="1"/>
        <v>DOWN</v>
      </c>
    </row>
    <row r="5" spans="1:10">
      <c r="A5" s="9">
        <v>46195</v>
      </c>
      <c r="B5" s="9">
        <v>46199</v>
      </c>
      <c r="C5" s="10" t="s">
        <v>3</v>
      </c>
      <c r="D5" s="10" t="s">
        <v>10</v>
      </c>
      <c r="E5" s="11">
        <v>367.34</v>
      </c>
      <c r="F5" s="12">
        <v>372.97</v>
      </c>
      <c r="G5" s="13">
        <f t="shared" si="0"/>
        <v>1.532640060978944E-2</v>
      </c>
      <c r="H5" s="12">
        <f>AVERAGE(F3:F5)</f>
        <v>381.03666666666669</v>
      </c>
      <c r="I5" s="12"/>
      <c r="J5" s="23" t="str">
        <f t="shared" si="1"/>
        <v>UP</v>
      </c>
    </row>
    <row r="6" spans="1:10">
      <c r="A6" s="4">
        <v>46202</v>
      </c>
      <c r="B6" s="4">
        <v>46206</v>
      </c>
      <c r="C6" s="5" t="s">
        <v>3</v>
      </c>
      <c r="D6" s="5" t="s">
        <v>10</v>
      </c>
      <c r="E6" s="6">
        <v>368.57</v>
      </c>
      <c r="F6" s="7">
        <v>390.49</v>
      </c>
      <c r="G6" s="8">
        <f t="shared" si="0"/>
        <v>5.947309873294087E-2</v>
      </c>
      <c r="H6" s="7">
        <f>AVERAGE(F4:F6)</f>
        <v>380.95333333333338</v>
      </c>
      <c r="I6" s="14">
        <f>AVERAGE(F2:F6)</f>
        <v>390.05399999999997</v>
      </c>
      <c r="J6" s="5" t="str">
        <f t="shared" si="1"/>
        <v>UP</v>
      </c>
    </row>
    <row r="7" spans="1:10">
      <c r="A7" s="9">
        <v>46209</v>
      </c>
      <c r="B7" s="9">
        <v>46213</v>
      </c>
      <c r="C7" s="10" t="s">
        <v>3</v>
      </c>
      <c r="D7" s="10" t="s">
        <v>10</v>
      </c>
      <c r="E7" s="11">
        <v>391</v>
      </c>
      <c r="F7" s="12">
        <v>395.2</v>
      </c>
      <c r="G7" s="13">
        <f t="shared" si="0"/>
        <v>1.0741687979539612E-2</v>
      </c>
      <c r="H7" s="12">
        <f>AVERAGE(F5:F7)</f>
        <v>386.22</v>
      </c>
      <c r="I7" s="15">
        <f>AVERAGE(F3:F7)</f>
        <v>385.76000000000005</v>
      </c>
      <c r="J7" s="10" t="str">
        <f t="shared" si="1"/>
        <v>UP</v>
      </c>
    </row>
    <row r="8" spans="1:10">
      <c r="A8" s="4">
        <v>46216</v>
      </c>
      <c r="B8" s="4">
        <v>46220</v>
      </c>
      <c r="C8" s="5" t="s">
        <v>3</v>
      </c>
      <c r="D8" s="5" t="s">
        <v>10</v>
      </c>
      <c r="E8" s="6">
        <v>396.1</v>
      </c>
      <c r="F8" s="7">
        <v>401.15</v>
      </c>
      <c r="G8" s="8"/>
      <c r="H8" s="7"/>
      <c r="I8" s="14"/>
      <c r="J8" s="5"/>
    </row>
    <row r="9" spans="1:10">
      <c r="A9" s="9">
        <v>46174</v>
      </c>
      <c r="B9" s="9">
        <v>46178</v>
      </c>
      <c r="C9" s="10" t="s">
        <v>12</v>
      </c>
      <c r="D9" s="10" t="s">
        <v>13</v>
      </c>
      <c r="E9" s="11">
        <v>306.31</v>
      </c>
      <c r="F9" s="12">
        <v>307.33999999999997</v>
      </c>
      <c r="G9" s="13">
        <f t="shared" si="0"/>
        <v>3.3626065097449405E-3</v>
      </c>
      <c r="H9" s="12"/>
      <c r="I9" s="10"/>
      <c r="J9" s="10" t="str">
        <f t="shared" si="1"/>
        <v>UP</v>
      </c>
    </row>
    <row r="10" spans="1:10">
      <c r="A10" s="4">
        <v>46181</v>
      </c>
      <c r="B10" s="4">
        <v>46185</v>
      </c>
      <c r="C10" s="5" t="s">
        <v>12</v>
      </c>
      <c r="D10" s="5" t="s">
        <v>13</v>
      </c>
      <c r="E10" s="6">
        <v>301.54000000000002</v>
      </c>
      <c r="F10" s="7">
        <v>291.13</v>
      </c>
      <c r="G10" s="8">
        <f t="shared" si="0"/>
        <v>-3.452278304702535E-2</v>
      </c>
      <c r="H10" s="5"/>
      <c r="I10" s="5"/>
      <c r="J10" s="5" t="str">
        <f t="shared" si="1"/>
        <v>DOWN</v>
      </c>
    </row>
    <row r="11" spans="1:10">
      <c r="A11" s="9">
        <v>46188</v>
      </c>
      <c r="B11" s="9">
        <v>46191</v>
      </c>
      <c r="C11" s="10" t="s">
        <v>12</v>
      </c>
      <c r="D11" s="10" t="s">
        <v>13</v>
      </c>
      <c r="E11" s="11">
        <v>296.42</v>
      </c>
      <c r="F11" s="12">
        <v>298.01</v>
      </c>
      <c r="G11" s="13">
        <f t="shared" si="0"/>
        <v>5.3640105256054747E-3</v>
      </c>
      <c r="H11" s="12">
        <f>AVERAGE(F9:F11)</f>
        <v>298.82666666666665</v>
      </c>
      <c r="I11" s="10"/>
      <c r="J11" s="10" t="str">
        <f t="shared" si="1"/>
        <v>UP</v>
      </c>
    </row>
    <row r="12" spans="1:10">
      <c r="A12" s="4">
        <v>46195</v>
      </c>
      <c r="B12" s="4">
        <v>46199</v>
      </c>
      <c r="C12" s="5" t="s">
        <v>12</v>
      </c>
      <c r="D12" s="5" t="s">
        <v>13</v>
      </c>
      <c r="E12" s="6">
        <v>297.01</v>
      </c>
      <c r="F12" s="7">
        <v>283.77999999999997</v>
      </c>
      <c r="G12" s="8">
        <f t="shared" si="0"/>
        <v>-4.4543954748998416E-2</v>
      </c>
      <c r="H12" s="7">
        <f>AVERAGE(F10:F12)</f>
        <v>290.9733333333333</v>
      </c>
      <c r="I12" s="5"/>
      <c r="J12" s="5" t="str">
        <f t="shared" si="1"/>
        <v>DOWN</v>
      </c>
    </row>
    <row r="13" spans="1:10">
      <c r="A13" s="9">
        <v>46202</v>
      </c>
      <c r="B13" s="9">
        <v>46206</v>
      </c>
      <c r="C13" s="10" t="s">
        <v>12</v>
      </c>
      <c r="D13" s="10" t="s">
        <v>13</v>
      </c>
      <c r="E13" s="11">
        <v>281.74</v>
      </c>
      <c r="F13" s="12">
        <v>308.63</v>
      </c>
      <c r="G13" s="13">
        <f t="shared" si="0"/>
        <v>9.5442606658621379E-2</v>
      </c>
      <c r="H13" s="12">
        <f>AVERAGE(F11:F13)</f>
        <v>296.80666666666667</v>
      </c>
      <c r="I13" s="15">
        <f>AVERAGE(F9:F13)</f>
        <v>297.77799999999996</v>
      </c>
      <c r="J13" s="10" t="str">
        <f t="shared" si="1"/>
        <v>UP</v>
      </c>
    </row>
    <row r="14" spans="1:10">
      <c r="A14" s="4">
        <v>46209</v>
      </c>
      <c r="B14" s="4">
        <v>46213</v>
      </c>
      <c r="C14" s="5" t="s">
        <v>12</v>
      </c>
      <c r="D14" s="5" t="s">
        <v>13</v>
      </c>
      <c r="E14" s="6">
        <v>309.10000000000002</v>
      </c>
      <c r="F14" s="7">
        <v>312.39999999999998</v>
      </c>
      <c r="G14" s="8">
        <f t="shared" si="0"/>
        <v>1.0676156583629746E-2</v>
      </c>
      <c r="H14" s="7">
        <f>AVERAGE(F12:F14)</f>
        <v>301.6033333333333</v>
      </c>
      <c r="I14" s="14">
        <f>AVERAGE(F10:F14)</f>
        <v>298.78999999999996</v>
      </c>
      <c r="J14" s="5" t="str">
        <f t="shared" si="1"/>
        <v>UP</v>
      </c>
    </row>
    <row r="15" spans="1:10">
      <c r="A15" s="9">
        <v>46216</v>
      </c>
      <c r="B15" s="9">
        <v>46220</v>
      </c>
      <c r="C15" s="10" t="s">
        <v>12</v>
      </c>
      <c r="D15" s="10" t="s">
        <v>13</v>
      </c>
      <c r="E15" s="11">
        <v>313</v>
      </c>
      <c r="F15" s="12">
        <v>315</v>
      </c>
      <c r="G15" s="13">
        <f t="shared" si="0"/>
        <v>6.3897763578274758E-3</v>
      </c>
      <c r="H15" s="12">
        <f>AVERAGE(F13:F15)</f>
        <v>312.01</v>
      </c>
      <c r="I15" s="15">
        <f>AVERAGE(F11:F15)</f>
        <v>303.56399999999996</v>
      </c>
      <c r="J15" s="10" t="str">
        <f t="shared" si="1"/>
        <v>UP</v>
      </c>
    </row>
    <row r="16" spans="1:10">
      <c r="A16" s="4">
        <v>46174</v>
      </c>
      <c r="B16" s="4">
        <v>46178</v>
      </c>
      <c r="C16" s="5" t="s">
        <v>14</v>
      </c>
      <c r="D16" s="5" t="s">
        <v>15</v>
      </c>
      <c r="E16" s="6">
        <v>224.36</v>
      </c>
      <c r="F16" s="7">
        <v>205.1</v>
      </c>
      <c r="G16" s="8">
        <f t="shared" si="0"/>
        <v>-8.584417899803895E-2</v>
      </c>
      <c r="H16" s="5"/>
      <c r="I16" s="5"/>
      <c r="J16" s="5" t="str">
        <f t="shared" si="1"/>
        <v>DOWN</v>
      </c>
    </row>
    <row r="17" spans="1:16">
      <c r="A17" s="9">
        <v>46181</v>
      </c>
      <c r="B17" s="9">
        <v>46185</v>
      </c>
      <c r="C17" s="10" t="s">
        <v>14</v>
      </c>
      <c r="D17" s="10" t="s">
        <v>15</v>
      </c>
      <c r="E17" s="11">
        <v>208.64</v>
      </c>
      <c r="F17" s="12">
        <v>205.19</v>
      </c>
      <c r="G17" s="13">
        <f t="shared" si="0"/>
        <v>-1.65356595092024E-2</v>
      </c>
      <c r="H17" s="10"/>
      <c r="I17" s="10"/>
      <c r="J17" s="10" t="str">
        <f t="shared" si="1"/>
        <v>DOWN</v>
      </c>
    </row>
    <row r="18" spans="1:16">
      <c r="A18" s="4">
        <v>46188</v>
      </c>
      <c r="B18" s="4">
        <v>46191</v>
      </c>
      <c r="C18" s="5" t="s">
        <v>14</v>
      </c>
      <c r="D18" s="5" t="s">
        <v>15</v>
      </c>
      <c r="E18" s="6">
        <v>212.45</v>
      </c>
      <c r="F18" s="7">
        <v>210.69</v>
      </c>
      <c r="G18" s="8">
        <f t="shared" si="0"/>
        <v>-8.2843021887502519E-3</v>
      </c>
      <c r="H18" s="7">
        <f>AVERAGE(F16:F18)</f>
        <v>206.99333333333334</v>
      </c>
      <c r="I18" s="5"/>
      <c r="J18" s="5" t="str">
        <f t="shared" si="1"/>
        <v>DOWN</v>
      </c>
    </row>
    <row r="19" spans="1:16">
      <c r="A19" s="9">
        <v>46195</v>
      </c>
      <c r="B19" s="9">
        <v>46199</v>
      </c>
      <c r="C19" s="10" t="s">
        <v>14</v>
      </c>
      <c r="D19" s="10" t="s">
        <v>15</v>
      </c>
      <c r="E19" s="11">
        <v>208.65</v>
      </c>
      <c r="F19" s="12">
        <v>192.53</v>
      </c>
      <c r="G19" s="13">
        <f t="shared" si="0"/>
        <v>-7.7258566978193166E-2</v>
      </c>
      <c r="H19" s="12">
        <f>AVERAGE(F17:F19)</f>
        <v>202.80333333333331</v>
      </c>
      <c r="I19" s="10"/>
      <c r="J19" s="10" t="str">
        <f t="shared" si="1"/>
        <v>DOWN</v>
      </c>
    </row>
    <row r="20" spans="1:16">
      <c r="A20" s="4">
        <v>46202</v>
      </c>
      <c r="B20" s="4">
        <v>46206</v>
      </c>
      <c r="C20" s="5" t="s">
        <v>14</v>
      </c>
      <c r="D20" s="5" t="s">
        <v>15</v>
      </c>
      <c r="E20" s="6">
        <v>194.97</v>
      </c>
      <c r="F20" s="7">
        <v>194.83</v>
      </c>
      <c r="G20" s="8">
        <f t="shared" si="0"/>
        <v>-7.1805918859304695E-4</v>
      </c>
      <c r="H20" s="7">
        <f>AVERAGE(F18:F20)</f>
        <v>199.35000000000002</v>
      </c>
      <c r="I20" s="14">
        <f>AVERAGE(F16:F20)</f>
        <v>201.66800000000001</v>
      </c>
      <c r="J20" s="5" t="str">
        <f t="shared" si="1"/>
        <v>DOWN</v>
      </c>
    </row>
    <row r="21" spans="1:16">
      <c r="A21" s="9">
        <v>46209</v>
      </c>
      <c r="B21" s="9">
        <v>46213</v>
      </c>
      <c r="C21" s="10" t="s">
        <v>14</v>
      </c>
      <c r="D21" s="10" t="s">
        <v>15</v>
      </c>
      <c r="E21" s="11">
        <v>194.5</v>
      </c>
      <c r="F21" s="12">
        <v>190.1</v>
      </c>
      <c r="G21" s="13">
        <f t="shared" si="0"/>
        <v>-2.2622107969151699E-2</v>
      </c>
      <c r="H21" s="12">
        <f>AVERAGE(F19:F21)</f>
        <v>192.48666666666668</v>
      </c>
      <c r="I21" s="15">
        <f>AVERAGE(F17:F21)</f>
        <v>198.66800000000001</v>
      </c>
      <c r="J21" s="10" t="str">
        <f t="shared" si="1"/>
        <v>DOWN</v>
      </c>
    </row>
    <row r="22" spans="1:16">
      <c r="A22" s="4">
        <v>46216</v>
      </c>
      <c r="B22" s="4">
        <v>46220</v>
      </c>
      <c r="C22" s="5" t="s">
        <v>14</v>
      </c>
      <c r="D22" s="5" t="s">
        <v>15</v>
      </c>
      <c r="E22" s="6">
        <v>189.5</v>
      </c>
      <c r="F22" s="7">
        <v>186.5</v>
      </c>
      <c r="G22" s="8">
        <f t="shared" si="0"/>
        <v>-1.5831134564643801E-2</v>
      </c>
      <c r="H22" s="7">
        <f>AVERAGE(F20:F22)</f>
        <v>190.47666666666669</v>
      </c>
      <c r="I22" s="14">
        <f>AVERAGE(F18:F22)</f>
        <v>194.93</v>
      </c>
      <c r="J22" s="5" t="str">
        <f t="shared" si="1"/>
        <v>DOWN</v>
      </c>
    </row>
    <row r="23" spans="1:16">
      <c r="A23" s="9">
        <v>46174</v>
      </c>
      <c r="B23" s="9">
        <v>46178</v>
      </c>
      <c r="C23" s="10" t="s">
        <v>16</v>
      </c>
      <c r="D23" s="10" t="s">
        <v>17</v>
      </c>
      <c r="E23" s="11">
        <v>376.37</v>
      </c>
      <c r="F23" s="12">
        <v>368.53</v>
      </c>
      <c r="G23" s="13">
        <f t="shared" si="0"/>
        <v>-2.0830565666764174E-2</v>
      </c>
      <c r="H23" s="10"/>
      <c r="I23" s="10"/>
      <c r="J23" s="10" t="str">
        <f t="shared" si="1"/>
        <v>DOWN</v>
      </c>
    </row>
    <row r="24" spans="1:16">
      <c r="A24" s="4">
        <v>46181</v>
      </c>
      <c r="B24" s="4">
        <v>46185</v>
      </c>
      <c r="C24" s="5" t="s">
        <v>16</v>
      </c>
      <c r="D24" s="5" t="s">
        <v>17</v>
      </c>
      <c r="E24" s="6">
        <v>363.31</v>
      </c>
      <c r="F24" s="7">
        <v>359.68</v>
      </c>
      <c r="G24" s="8">
        <f t="shared" si="0"/>
        <v>-9.9914673419393783E-3</v>
      </c>
      <c r="H24" s="5"/>
      <c r="I24" s="5"/>
      <c r="J24" s="5" t="str">
        <f t="shared" si="1"/>
        <v>DOWN</v>
      </c>
    </row>
    <row r="25" spans="1:16">
      <c r="A25" s="9">
        <v>46188</v>
      </c>
      <c r="B25" s="9">
        <v>46191</v>
      </c>
      <c r="C25" s="10" t="s">
        <v>16</v>
      </c>
      <c r="D25" s="10" t="s">
        <v>17</v>
      </c>
      <c r="E25" s="11">
        <v>369.35</v>
      </c>
      <c r="F25" s="12">
        <v>368.03</v>
      </c>
      <c r="G25" s="13">
        <f t="shared" si="0"/>
        <v>-3.5738459455802083E-3</v>
      </c>
      <c r="H25" s="12">
        <f>AVERAGE(F23:F25)</f>
        <v>365.41333333333336</v>
      </c>
      <c r="I25" s="10"/>
      <c r="J25" s="10" t="str">
        <f t="shared" si="1"/>
        <v>DOWN</v>
      </c>
    </row>
    <row r="26" spans="1:16">
      <c r="A26" s="4">
        <v>46195</v>
      </c>
      <c r="B26" s="4">
        <v>46199</v>
      </c>
      <c r="C26" s="5" t="s">
        <v>16</v>
      </c>
      <c r="D26" s="5" t="s">
        <v>17</v>
      </c>
      <c r="E26" s="6">
        <v>349.68</v>
      </c>
      <c r="F26" s="7">
        <v>337.39</v>
      </c>
      <c r="G26" s="8">
        <f t="shared" si="0"/>
        <v>-3.5146419583619366E-2</v>
      </c>
      <c r="H26" s="7">
        <f>AVERAGE(F24:F26)</f>
        <v>355.0333333333333</v>
      </c>
      <c r="I26" s="5"/>
      <c r="J26" s="5" t="str">
        <f t="shared" si="1"/>
        <v>DOWN</v>
      </c>
    </row>
    <row r="27" spans="1:16">
      <c r="A27" s="9">
        <v>46202</v>
      </c>
      <c r="B27" s="9">
        <v>46206</v>
      </c>
      <c r="C27" s="10" t="s">
        <v>16</v>
      </c>
      <c r="D27" s="10" t="s">
        <v>17</v>
      </c>
      <c r="E27" s="11">
        <v>353.65</v>
      </c>
      <c r="F27" s="12">
        <v>359.91</v>
      </c>
      <c r="G27" s="13">
        <f t="shared" si="0"/>
        <v>1.7701116923512082E-2</v>
      </c>
      <c r="H27" s="12">
        <f>AVERAGE(F25:F27)</f>
        <v>355.10999999999996</v>
      </c>
      <c r="I27" s="15">
        <f>AVERAGE(F23:F27)</f>
        <v>358.70800000000003</v>
      </c>
      <c r="J27" s="10" t="str">
        <f t="shared" si="1"/>
        <v>UP</v>
      </c>
    </row>
    <row r="28" spans="1:16">
      <c r="A28" s="4">
        <v>46209</v>
      </c>
      <c r="B28" s="4">
        <v>46213</v>
      </c>
      <c r="C28" s="5" t="s">
        <v>16</v>
      </c>
      <c r="D28" s="5" t="s">
        <v>17</v>
      </c>
      <c r="E28" s="6">
        <v>360.5</v>
      </c>
      <c r="F28" s="7">
        <v>362.5</v>
      </c>
      <c r="G28" s="8">
        <f t="shared" si="0"/>
        <v>5.5478502080443829E-3</v>
      </c>
      <c r="H28" s="7">
        <f>AVERAGE(F26:F28)</f>
        <v>353.26666666666665</v>
      </c>
      <c r="I28" s="14">
        <f>AVERAGE(F24:F28)</f>
        <v>357.50200000000001</v>
      </c>
      <c r="J28" s="5" t="str">
        <f t="shared" si="1"/>
        <v>UP</v>
      </c>
    </row>
    <row r="29" spans="1:16">
      <c r="A29" s="9">
        <v>46216</v>
      </c>
      <c r="B29" s="9">
        <v>46220</v>
      </c>
      <c r="C29" s="10" t="s">
        <v>16</v>
      </c>
      <c r="D29" s="10" t="s">
        <v>17</v>
      </c>
      <c r="E29" s="11">
        <v>363</v>
      </c>
      <c r="F29" s="12">
        <v>360</v>
      </c>
      <c r="G29" s="13">
        <f t="shared" si="0"/>
        <v>-8.2644628099173556E-3</v>
      </c>
      <c r="H29" s="12">
        <f>AVERAGE(F27:F29)</f>
        <v>360.80333333333334</v>
      </c>
      <c r="I29" s="15">
        <f>AVERAGE(F25:F29)</f>
        <v>357.56599999999997</v>
      </c>
      <c r="J29" s="10" t="str">
        <f t="shared" si="1"/>
        <v>DOWN</v>
      </c>
    </row>
    <row r="30" spans="1:16">
      <c r="A30" s="4">
        <v>46174</v>
      </c>
      <c r="B30" s="4">
        <v>46178</v>
      </c>
      <c r="C30" s="5" t="s">
        <v>18</v>
      </c>
      <c r="D30" s="5" t="s">
        <v>19</v>
      </c>
      <c r="E30" s="6">
        <v>600.47</v>
      </c>
      <c r="F30" s="7">
        <v>593</v>
      </c>
      <c r="G30" s="8">
        <f t="shared" si="0"/>
        <v>-1.2440255133478819E-2</v>
      </c>
      <c r="H30" s="5"/>
      <c r="I30" s="5"/>
      <c r="J30" s="5" t="str">
        <f t="shared" si="1"/>
        <v>DOWN</v>
      </c>
    </row>
    <row r="31" spans="1:16">
      <c r="A31" s="9">
        <v>46181</v>
      </c>
      <c r="B31" s="9">
        <v>46185</v>
      </c>
      <c r="C31" s="10" t="s">
        <v>18</v>
      </c>
      <c r="D31" s="10" t="s">
        <v>19</v>
      </c>
      <c r="E31" s="11">
        <v>585.39</v>
      </c>
      <c r="F31" s="12">
        <v>566.98</v>
      </c>
      <c r="G31" s="13">
        <f t="shared" si="0"/>
        <v>-3.1449119390491755E-2</v>
      </c>
      <c r="H31" s="10"/>
      <c r="I31" s="10"/>
      <c r="J31" s="10" t="str">
        <f t="shared" si="1"/>
        <v>DOWN</v>
      </c>
    </row>
    <row r="32" spans="1:16">
      <c r="A32" s="4">
        <v>46188</v>
      </c>
      <c r="B32" s="4">
        <v>46191</v>
      </c>
      <c r="C32" s="5" t="s">
        <v>18</v>
      </c>
      <c r="D32" s="5" t="s">
        <v>19</v>
      </c>
      <c r="E32" s="6">
        <v>593.48</v>
      </c>
      <c r="F32" s="7">
        <v>577.22</v>
      </c>
      <c r="G32" s="8">
        <f t="shared" si="0"/>
        <v>-2.7397721911437606E-2</v>
      </c>
      <c r="H32" s="7">
        <f>AVERAGE(F30:F32)</f>
        <v>579.06666666666672</v>
      </c>
      <c r="I32" s="5"/>
      <c r="J32" s="5" t="str">
        <f t="shared" si="1"/>
        <v>DOWN</v>
      </c>
      <c r="P32" s="3"/>
    </row>
    <row r="33" spans="1:10">
      <c r="A33" s="9">
        <v>46195</v>
      </c>
      <c r="B33" s="9">
        <v>46199</v>
      </c>
      <c r="C33" s="10" t="s">
        <v>18</v>
      </c>
      <c r="D33" s="10" t="s">
        <v>19</v>
      </c>
      <c r="E33" s="11">
        <v>563.85</v>
      </c>
      <c r="F33" s="12">
        <v>550.25</v>
      </c>
      <c r="G33" s="13">
        <f t="shared" si="0"/>
        <v>-2.4119890041677791E-2</v>
      </c>
      <c r="H33" s="12">
        <f>AVERAGE(F31:F33)</f>
        <v>564.81666666666672</v>
      </c>
      <c r="I33" s="10"/>
      <c r="J33" s="10" t="str">
        <f t="shared" si="1"/>
        <v>DOWN</v>
      </c>
    </row>
    <row r="34" spans="1:10">
      <c r="A34" s="4">
        <v>46202</v>
      </c>
      <c r="B34" s="4">
        <v>46206</v>
      </c>
      <c r="C34" s="5" t="s">
        <v>18</v>
      </c>
      <c r="D34" s="5" t="s">
        <v>19</v>
      </c>
      <c r="E34" s="6">
        <v>562.6</v>
      </c>
      <c r="F34" s="7">
        <v>582.9</v>
      </c>
      <c r="G34" s="8">
        <f t="shared" si="0"/>
        <v>3.6082474226804044E-2</v>
      </c>
      <c r="H34" s="7">
        <f>AVERAGE(F32:F34)</f>
        <v>570.12333333333333</v>
      </c>
      <c r="I34" s="14">
        <f>AVERAGE(F30:F34)</f>
        <v>574.06999999999994</v>
      </c>
      <c r="J34" s="5" t="str">
        <f t="shared" si="1"/>
        <v>UP</v>
      </c>
    </row>
    <row r="35" spans="1:10">
      <c r="A35" s="9">
        <v>46209</v>
      </c>
      <c r="B35" s="9">
        <v>46213</v>
      </c>
      <c r="C35" s="10" t="s">
        <v>18</v>
      </c>
      <c r="D35" s="10" t="s">
        <v>19</v>
      </c>
      <c r="E35" s="12">
        <v>583.5</v>
      </c>
      <c r="F35" s="12">
        <v>590.20000000000005</v>
      </c>
      <c r="G35" s="13">
        <f t="shared" si="0"/>
        <v>1.1482433590402821E-2</v>
      </c>
      <c r="H35" s="12">
        <f>AVERAGE(F33:F35)</f>
        <v>574.45000000000005</v>
      </c>
      <c r="I35" s="15">
        <f>AVERAGE(F31:F35)</f>
        <v>573.51</v>
      </c>
      <c r="J35" s="10" t="str">
        <f t="shared" si="1"/>
        <v>UP</v>
      </c>
    </row>
    <row r="36" spans="1:10">
      <c r="A36" s="4">
        <v>46216</v>
      </c>
      <c r="B36" s="4">
        <v>46220</v>
      </c>
      <c r="C36" s="5" t="s">
        <v>18</v>
      </c>
      <c r="D36" s="5" t="s">
        <v>19</v>
      </c>
      <c r="E36" s="7">
        <v>588</v>
      </c>
      <c r="F36" s="7">
        <v>585.5</v>
      </c>
      <c r="G36" s="8">
        <f t="shared" si="0"/>
        <v>-4.2517006802721092E-3</v>
      </c>
      <c r="H36" s="7">
        <f>AVERAGE(F34:F36)</f>
        <v>586.19999999999993</v>
      </c>
      <c r="I36" s="14">
        <f>AVERAGE(F32:F36)</f>
        <v>577.21399999999994</v>
      </c>
      <c r="J36" s="5" t="str">
        <f t="shared" si="1"/>
        <v>DOWN</v>
      </c>
    </row>
  </sheetData>
  <conditionalFormatting sqref="J1:J1048576">
    <cfRule type="containsText" dxfId="14" priority="1" operator="containsText" text="up">
      <formula>NOT(ISERROR(SEARCH("up",J1)))</formula>
    </cfRule>
    <cfRule type="containsText" dxfId="13" priority="2" operator="containsText" text="up">
      <formula>NOT(ISERROR(SEARCH("up",J1)))</formula>
    </cfRule>
    <cfRule type="containsText" dxfId="12" priority="3" operator="containsText" text="down">
      <formula>NOT(ISERROR(SEARCH("down",J1)))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showGridLines="0" workbookViewId="0">
      <selection activeCell="F7" sqref="F7"/>
    </sheetView>
  </sheetViews>
  <sheetFormatPr defaultRowHeight="15"/>
  <cols>
    <col min="1" max="1" width="10.42578125" bestFit="1" customWidth="1"/>
    <col min="3" max="3" width="11.42578125" bestFit="1" customWidth="1"/>
    <col min="4" max="4" width="12.5703125" bestFit="1" customWidth="1"/>
    <col min="5" max="5" width="11.42578125" bestFit="1" customWidth="1"/>
    <col min="6" max="6" width="9.140625" bestFit="1" customWidth="1"/>
    <col min="7" max="7" width="16" bestFit="1" customWidth="1"/>
    <col min="8" max="8" width="11.7109375" bestFit="1" customWidth="1"/>
    <col min="9" max="9" width="13.28515625" bestFit="1" customWidth="1"/>
  </cols>
  <sheetData>
    <row r="1" spans="1:9">
      <c r="A1" s="19" t="s">
        <v>20</v>
      </c>
      <c r="B1" s="19" t="s">
        <v>21</v>
      </c>
      <c r="C1" s="19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</row>
    <row r="2" spans="1:9">
      <c r="A2" s="20">
        <v>46209</v>
      </c>
      <c r="B2" s="21" t="s">
        <v>10</v>
      </c>
      <c r="C2" s="22" t="s">
        <v>29</v>
      </c>
      <c r="D2">
        <v>390.49</v>
      </c>
      <c r="E2">
        <v>375.92</v>
      </c>
      <c r="F2">
        <v>379.79</v>
      </c>
    </row>
    <row r="3" spans="1:9">
      <c r="A3" s="20">
        <v>46209</v>
      </c>
      <c r="B3" s="21" t="s">
        <v>13</v>
      </c>
      <c r="C3" s="22" t="s">
        <v>29</v>
      </c>
      <c r="D3">
        <v>308.63</v>
      </c>
      <c r="E3">
        <v>300.77999999999997</v>
      </c>
      <c r="F3">
        <v>297.73</v>
      </c>
    </row>
    <row r="4" spans="1:9">
      <c r="A4" s="20">
        <v>46209</v>
      </c>
      <c r="B4" s="21" t="s">
        <v>15</v>
      </c>
      <c r="C4" s="22" t="s">
        <v>29</v>
      </c>
      <c r="D4">
        <v>194.83</v>
      </c>
      <c r="E4">
        <v>190.64</v>
      </c>
      <c r="F4">
        <v>192.67</v>
      </c>
    </row>
    <row r="5" spans="1:9">
      <c r="A5" s="20">
        <v>46209</v>
      </c>
      <c r="B5" s="21" t="s">
        <v>17</v>
      </c>
      <c r="C5" s="22" t="s">
        <v>29</v>
      </c>
      <c r="D5">
        <v>359.91</v>
      </c>
      <c r="E5">
        <v>349.53</v>
      </c>
      <c r="F5">
        <v>348.94</v>
      </c>
    </row>
    <row r="6" spans="1:9">
      <c r="A6" s="20">
        <v>46209</v>
      </c>
      <c r="B6" s="21" t="s">
        <v>19</v>
      </c>
      <c r="C6" s="22" t="s">
        <v>29</v>
      </c>
      <c r="D6">
        <v>582.9</v>
      </c>
      <c r="E6">
        <v>568.65</v>
      </c>
      <c r="F6">
        <v>567.27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 Data</vt:lpstr>
      <vt:lpstr>Decision Journal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SANDHU</dc:creator>
  <cp:lastModifiedBy>SANDHU</cp:lastModifiedBy>
  <dcterms:created xsi:type="dcterms:W3CDTF">2026-07-02T12:23:13Z</dcterms:created>
  <dcterms:modified xsi:type="dcterms:W3CDTF">2026-07-17T18:23:17Z</dcterms:modified>
</cp:coreProperties>
</file>